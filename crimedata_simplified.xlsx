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runmayee Potdar\Desktop\"/>
    </mc:Choice>
  </mc:AlternateContent>
  <xr:revisionPtr revIDLastSave="0" documentId="8_{06539B49-2DAB-4868-945D-63C51E1EAFA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PC" sheetId="1" r:id="rId1"/>
    <sheet name="women" sheetId="2" r:id="rId2"/>
    <sheet name="ndps" sheetId="3" r:id="rId3"/>
    <sheet name="brothels" sheetId="4" r:id="rId4"/>
    <sheet name="ecconomic_offenses" sheetId="5" r:id="rId5"/>
    <sheet name="cybe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6" l="1"/>
  <c r="D24" i="6"/>
  <c r="C24" i="6"/>
</calcChain>
</file>

<file path=xl/sharedStrings.xml><?xml version="1.0" encoding="utf-8"?>
<sst xmlns="http://schemas.openxmlformats.org/spreadsheetml/2006/main" count="114" uniqueCount="95">
  <si>
    <t>Crime Heads</t>
  </si>
  <si>
    <t>sep25_R</t>
  </si>
  <si>
    <t>sep25_D</t>
  </si>
  <si>
    <t>aug25_R</t>
  </si>
  <si>
    <t>aug_25_D</t>
  </si>
  <si>
    <t>this_yr_R</t>
  </si>
  <si>
    <t>this_yr_D</t>
  </si>
  <si>
    <t>% of Detection_this</t>
  </si>
  <si>
    <t>prev_yr_R</t>
  </si>
  <si>
    <t>prev_yr_D</t>
  </si>
  <si>
    <t>% of Detection_prev</t>
  </si>
  <si>
    <t>Murder</t>
  </si>
  <si>
    <t>Att.to.C.Murder</t>
  </si>
  <si>
    <t>Dacoity</t>
  </si>
  <si>
    <t>Prep.for Dacoity</t>
  </si>
  <si>
    <t>Robbery</t>
  </si>
  <si>
    <t>Robbery Chain Snatching</t>
  </si>
  <si>
    <t>Att.to.C.Robbery</t>
  </si>
  <si>
    <t>Extortion</t>
  </si>
  <si>
    <t>H.B.T.Day</t>
  </si>
  <si>
    <t>H.B.T.Night.</t>
  </si>
  <si>
    <t>Thefts.</t>
  </si>
  <si>
    <t>M.V.Thefts.</t>
  </si>
  <si>
    <t>Snatching</t>
  </si>
  <si>
    <t>Hurt</t>
  </si>
  <si>
    <t>Riots.</t>
  </si>
  <si>
    <t>Rape</t>
  </si>
  <si>
    <t>Molestation</t>
  </si>
  <si>
    <t>Other I.P.C.</t>
  </si>
  <si>
    <t>Total IPC</t>
  </si>
  <si>
    <t>aug25_D</t>
  </si>
  <si>
    <t>Other IPC with POCSO</t>
  </si>
  <si>
    <t>PITA With POCSO (Excluding Rape)</t>
  </si>
  <si>
    <t>Drugs Name</t>
  </si>
  <si>
    <t>No. of Cases</t>
  </si>
  <si>
    <t>No. of Person Arrested</t>
  </si>
  <si>
    <t>Values</t>
  </si>
  <si>
    <t>Heroin</t>
  </si>
  <si>
    <t>Charas</t>
  </si>
  <si>
    <t>Cocaine</t>
  </si>
  <si>
    <t>Ganja</t>
  </si>
  <si>
    <t>MD</t>
  </si>
  <si>
    <t>Other Drugs</t>
  </si>
  <si>
    <t>Cough Syrup (All types)</t>
  </si>
  <si>
    <t>Consumption Cases</t>
  </si>
  <si>
    <t>% of Det_this</t>
  </si>
  <si>
    <t>% of Det_prev</t>
  </si>
  <si>
    <t>EOW CASES</t>
  </si>
  <si>
    <t>Head Wise Crime</t>
  </si>
  <si>
    <t>Reg.</t>
  </si>
  <si>
    <t>Det.</t>
  </si>
  <si>
    <t>PA</t>
  </si>
  <si>
    <t>Tampering of Source Code</t>
  </si>
  <si>
    <t>Phishing /MIM Attack/ Spoofing Mail</t>
  </si>
  <si>
    <t>Pornography</t>
  </si>
  <si>
    <t>Obscene Email / SMS / MMS/Post</t>
  </si>
  <si>
    <t>Fake Social Media Profile/ Morphing Email/ SMS</t>
  </si>
  <si>
    <t>Credit Card / Online  Fraud</t>
  </si>
  <si>
    <t>Hacking</t>
  </si>
  <si>
    <t>Custom/Gift Fraud</t>
  </si>
  <si>
    <t>Purchase fraud</t>
  </si>
  <si>
    <t>Admission fraud</t>
  </si>
  <si>
    <t>Data Theft</t>
  </si>
  <si>
    <t>Sextortion</t>
  </si>
  <si>
    <t>Communal Post</t>
  </si>
  <si>
    <t xml:space="preserve">Rape </t>
  </si>
  <si>
    <t>Kidnapping</t>
  </si>
  <si>
    <t xml:space="preserve">Outraging Modesty of Women </t>
  </si>
  <si>
    <t xml:space="preserve">Intended insult to Modesty of Women </t>
  </si>
  <si>
    <t>Dowry</t>
  </si>
  <si>
    <t xml:space="preserve"> Murder due to other reasons</t>
  </si>
  <si>
    <t xml:space="preserve">Suicides due to other reasons </t>
  </si>
  <si>
    <t>Mental/Phy. Harrast. due to other reasons</t>
  </si>
  <si>
    <t xml:space="preserve">Eve-Teasing </t>
  </si>
  <si>
    <t>Quantity(kg)</t>
  </si>
  <si>
    <t>sep25_cases</t>
  </si>
  <si>
    <t>this_yr</t>
  </si>
  <si>
    <t>prev_yr</t>
  </si>
  <si>
    <t>sep25_res</t>
  </si>
  <si>
    <t>this_yr_res</t>
  </si>
  <si>
    <t>sep25_arr</t>
  </si>
  <si>
    <t>prev_yr_res</t>
  </si>
  <si>
    <t>this_yr_arr</t>
  </si>
  <si>
    <t>prev_yr_arr</t>
  </si>
  <si>
    <t>Job fraud</t>
  </si>
  <si>
    <t>Insurance fraud</t>
  </si>
  <si>
    <t>Fake website</t>
  </si>
  <si>
    <t>Share market investment</t>
  </si>
  <si>
    <t>Investment fraud</t>
  </si>
  <si>
    <t>Matrimonial fraud</t>
  </si>
  <si>
    <t>Cryptocurrency fraud</t>
  </si>
  <si>
    <t>Loan fraud</t>
  </si>
  <si>
    <t>Digital arrest</t>
  </si>
  <si>
    <t xml:space="preserve">Other </t>
  </si>
  <si>
    <t xml:space="preserve">Acid Attack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</si>
</sst>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17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C20" sqref="C20"/>
    </sheetView>
  </sheetViews>
  <sheetFormatPr defaultRowHeight="14.4" x14ac:dyDescent="0.3"/>
  <cols>
    <col min="1" max="1" width="16.77734375" style="2" customWidth="1"/>
    <col min="2" max="2" width="13.6640625" style="2" customWidth="1"/>
    <col min="3" max="3" width="13.44140625" style="2" customWidth="1"/>
    <col min="4" max="4" width="12.6640625" style="2" customWidth="1"/>
    <col min="5" max="5" width="12.33203125" style="2" customWidth="1"/>
    <col min="6" max="6" width="11.88671875" style="2" customWidth="1"/>
    <col min="7" max="7" width="12.109375" style="2" customWidth="1"/>
    <col min="8" max="8" width="21.6640625" style="2" customWidth="1"/>
    <col min="9" max="9" width="14.88671875" style="2" customWidth="1"/>
    <col min="10" max="10" width="13" style="2" customWidth="1"/>
    <col min="11" max="11" width="17.33203125" style="2" customWidth="1"/>
    <col min="12" max="16384" width="8.8867187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3" t="s">
        <v>11</v>
      </c>
      <c r="B2" s="3">
        <v>11</v>
      </c>
      <c r="C2" s="3">
        <v>11</v>
      </c>
      <c r="D2" s="3">
        <v>6</v>
      </c>
      <c r="E2" s="3">
        <v>6</v>
      </c>
      <c r="F2" s="3">
        <v>98</v>
      </c>
      <c r="G2" s="3">
        <v>95</v>
      </c>
      <c r="H2" s="3">
        <v>97</v>
      </c>
      <c r="I2" s="3">
        <v>78</v>
      </c>
      <c r="J2" s="3">
        <v>77</v>
      </c>
      <c r="K2" s="3">
        <v>99</v>
      </c>
    </row>
    <row r="3" spans="1:11" x14ac:dyDescent="0.3">
      <c r="A3" s="3" t="s">
        <v>12</v>
      </c>
      <c r="B3" s="3">
        <v>31</v>
      </c>
      <c r="C3" s="3">
        <v>29</v>
      </c>
      <c r="D3" s="3">
        <v>16</v>
      </c>
      <c r="E3" s="3">
        <v>16</v>
      </c>
      <c r="F3" s="3">
        <v>232</v>
      </c>
      <c r="G3" s="3">
        <v>229</v>
      </c>
      <c r="H3" s="3">
        <v>99</v>
      </c>
      <c r="I3" s="3">
        <v>240</v>
      </c>
      <c r="J3" s="3">
        <v>238</v>
      </c>
      <c r="K3" s="3">
        <v>99</v>
      </c>
    </row>
    <row r="4" spans="1:11" x14ac:dyDescent="0.3">
      <c r="A4" s="3" t="s">
        <v>13</v>
      </c>
      <c r="B4" s="3">
        <v>1</v>
      </c>
      <c r="C4" s="3">
        <v>1</v>
      </c>
      <c r="D4" s="3">
        <v>1</v>
      </c>
      <c r="E4" s="3">
        <v>0</v>
      </c>
      <c r="F4" s="3">
        <v>9</v>
      </c>
      <c r="G4" s="3">
        <v>9</v>
      </c>
      <c r="H4" s="3">
        <v>100</v>
      </c>
      <c r="I4" s="3">
        <v>19</v>
      </c>
      <c r="J4" s="3">
        <v>19</v>
      </c>
      <c r="K4" s="3">
        <v>100</v>
      </c>
    </row>
    <row r="5" spans="1:11" x14ac:dyDescent="0.3">
      <c r="A5" s="3" t="s">
        <v>14</v>
      </c>
      <c r="B5" s="3">
        <v>0</v>
      </c>
      <c r="C5" s="3">
        <v>0</v>
      </c>
      <c r="D5" s="3">
        <v>0</v>
      </c>
      <c r="E5" s="3">
        <v>0</v>
      </c>
      <c r="F5" s="3">
        <v>2</v>
      </c>
      <c r="G5" s="3">
        <v>2</v>
      </c>
      <c r="H5" s="3">
        <v>100</v>
      </c>
      <c r="I5" s="3">
        <v>8</v>
      </c>
      <c r="J5" s="3">
        <v>8</v>
      </c>
      <c r="K5" s="3">
        <v>100</v>
      </c>
    </row>
    <row r="6" spans="1:11" x14ac:dyDescent="0.3">
      <c r="A6" s="3" t="s">
        <v>15</v>
      </c>
      <c r="B6" s="3">
        <v>27</v>
      </c>
      <c r="C6" s="3">
        <v>23</v>
      </c>
      <c r="D6" s="3">
        <v>23</v>
      </c>
      <c r="E6" s="3">
        <v>22</v>
      </c>
      <c r="F6" s="3">
        <v>204</v>
      </c>
      <c r="G6" s="3">
        <v>200</v>
      </c>
      <c r="H6" s="3">
        <v>98</v>
      </c>
      <c r="I6" s="3">
        <v>398</v>
      </c>
      <c r="J6" s="3">
        <v>391</v>
      </c>
      <c r="K6" s="3">
        <v>98</v>
      </c>
    </row>
    <row r="7" spans="1:11" x14ac:dyDescent="0.3">
      <c r="A7" s="3" t="s">
        <v>16</v>
      </c>
      <c r="B7" s="3">
        <v>7</v>
      </c>
      <c r="C7" s="3">
        <v>5</v>
      </c>
      <c r="D7" s="3">
        <v>6</v>
      </c>
      <c r="E7" s="3">
        <v>4</v>
      </c>
      <c r="F7" s="3">
        <v>63</v>
      </c>
      <c r="G7" s="3">
        <v>59</v>
      </c>
      <c r="H7" s="3">
        <v>94</v>
      </c>
      <c r="I7" s="3">
        <v>96</v>
      </c>
      <c r="J7" s="3">
        <v>91</v>
      </c>
      <c r="K7" s="3">
        <v>95</v>
      </c>
    </row>
    <row r="8" spans="1:11" x14ac:dyDescent="0.3">
      <c r="A8" s="3" t="s">
        <v>17</v>
      </c>
      <c r="B8" s="3">
        <v>0</v>
      </c>
      <c r="C8" s="3">
        <v>0</v>
      </c>
      <c r="D8" s="3">
        <v>1</v>
      </c>
      <c r="E8" s="3">
        <v>1</v>
      </c>
      <c r="F8" s="3">
        <v>8</v>
      </c>
      <c r="G8" s="3">
        <v>7</v>
      </c>
      <c r="H8" s="3">
        <v>88</v>
      </c>
      <c r="I8" s="3">
        <v>16</v>
      </c>
      <c r="J8" s="3">
        <v>15</v>
      </c>
      <c r="K8" s="3">
        <v>94</v>
      </c>
    </row>
    <row r="9" spans="1:11" x14ac:dyDescent="0.3">
      <c r="A9" s="3" t="s">
        <v>18</v>
      </c>
      <c r="B9" s="3">
        <v>29</v>
      </c>
      <c r="C9" s="3">
        <v>23</v>
      </c>
      <c r="D9" s="3">
        <v>26</v>
      </c>
      <c r="E9" s="3">
        <v>23</v>
      </c>
      <c r="F9" s="3">
        <v>230</v>
      </c>
      <c r="G9" s="3">
        <v>211</v>
      </c>
      <c r="H9" s="3">
        <v>92</v>
      </c>
      <c r="I9" s="3">
        <v>151</v>
      </c>
      <c r="J9" s="3">
        <v>126</v>
      </c>
      <c r="K9" s="3">
        <v>83</v>
      </c>
    </row>
    <row r="10" spans="1:11" x14ac:dyDescent="0.3">
      <c r="A10" s="3" t="s">
        <v>19</v>
      </c>
      <c r="B10" s="3">
        <v>11</v>
      </c>
      <c r="C10" s="3">
        <v>5</v>
      </c>
      <c r="D10" s="3">
        <v>13</v>
      </c>
      <c r="E10" s="3">
        <v>4</v>
      </c>
      <c r="F10" s="3">
        <v>127</v>
      </c>
      <c r="G10" s="3">
        <v>81</v>
      </c>
      <c r="H10" s="3">
        <v>64</v>
      </c>
      <c r="I10" s="3">
        <v>186</v>
      </c>
      <c r="J10" s="3">
        <v>102</v>
      </c>
      <c r="K10" s="3">
        <v>55</v>
      </c>
    </row>
    <row r="11" spans="1:11" x14ac:dyDescent="0.3">
      <c r="A11" s="3" t="s">
        <v>20</v>
      </c>
      <c r="B11" s="3">
        <v>81</v>
      </c>
      <c r="C11" s="3">
        <v>29</v>
      </c>
      <c r="D11" s="3">
        <v>79</v>
      </c>
      <c r="E11" s="3">
        <v>34</v>
      </c>
      <c r="F11" s="3">
        <v>669</v>
      </c>
      <c r="G11" s="3">
        <v>430</v>
      </c>
      <c r="H11" s="3">
        <v>64</v>
      </c>
      <c r="I11" s="3">
        <v>822</v>
      </c>
      <c r="J11" s="3">
        <v>475</v>
      </c>
      <c r="K11" s="3">
        <v>58</v>
      </c>
    </row>
    <row r="12" spans="1:11" x14ac:dyDescent="0.3">
      <c r="A12" s="3" t="s">
        <v>21</v>
      </c>
      <c r="B12" s="3">
        <v>708</v>
      </c>
      <c r="C12" s="3">
        <v>164</v>
      </c>
      <c r="D12" s="3">
        <v>707</v>
      </c>
      <c r="E12" s="3">
        <v>172</v>
      </c>
      <c r="F12" s="3">
        <v>6058</v>
      </c>
      <c r="G12" s="3">
        <v>1930</v>
      </c>
      <c r="H12" s="3">
        <v>32</v>
      </c>
      <c r="I12" s="3">
        <v>6849</v>
      </c>
      <c r="J12" s="3">
        <v>2190</v>
      </c>
      <c r="K12" s="3">
        <v>32</v>
      </c>
    </row>
    <row r="13" spans="1:11" x14ac:dyDescent="0.3">
      <c r="A13" s="3" t="s">
        <v>22</v>
      </c>
      <c r="B13" s="3">
        <v>195</v>
      </c>
      <c r="C13" s="3">
        <v>60</v>
      </c>
      <c r="D13" s="3">
        <v>214</v>
      </c>
      <c r="E13" s="3">
        <v>71</v>
      </c>
      <c r="F13" s="3">
        <v>1713</v>
      </c>
      <c r="G13" s="3">
        <v>986</v>
      </c>
      <c r="H13" s="3">
        <v>58</v>
      </c>
      <c r="I13" s="3">
        <v>1938</v>
      </c>
      <c r="J13" s="3">
        <v>1038</v>
      </c>
      <c r="K13" s="3">
        <v>54</v>
      </c>
    </row>
    <row r="14" spans="1:11" x14ac:dyDescent="0.3">
      <c r="A14" s="3" t="s">
        <v>23</v>
      </c>
      <c r="B14" s="3">
        <v>8</v>
      </c>
      <c r="C14" s="3">
        <v>6</v>
      </c>
      <c r="D14" s="3">
        <v>8</v>
      </c>
      <c r="E14" s="3">
        <v>3</v>
      </c>
      <c r="F14" s="3">
        <v>141</v>
      </c>
      <c r="G14" s="3">
        <v>117</v>
      </c>
      <c r="H14" s="3">
        <v>83</v>
      </c>
      <c r="I14" s="3">
        <v>59</v>
      </c>
      <c r="J14" s="3">
        <v>30</v>
      </c>
      <c r="K14" s="3">
        <v>51</v>
      </c>
    </row>
    <row r="15" spans="1:11" x14ac:dyDescent="0.3">
      <c r="A15" s="3" t="s">
        <v>24</v>
      </c>
      <c r="B15" s="3">
        <v>302</v>
      </c>
      <c r="C15" s="3">
        <v>267</v>
      </c>
      <c r="D15" s="3">
        <v>295</v>
      </c>
      <c r="E15" s="3">
        <v>253</v>
      </c>
      <c r="F15" s="3">
        <v>3054</v>
      </c>
      <c r="G15" s="3">
        <v>2983</v>
      </c>
      <c r="H15" s="3">
        <v>98</v>
      </c>
      <c r="I15" s="3">
        <v>3282</v>
      </c>
      <c r="J15" s="3">
        <v>3106</v>
      </c>
      <c r="K15" s="3">
        <v>95</v>
      </c>
    </row>
    <row r="16" spans="1:11" x14ac:dyDescent="0.3">
      <c r="A16" s="3" t="s">
        <v>25</v>
      </c>
      <c r="B16" s="3">
        <v>45</v>
      </c>
      <c r="C16" s="3">
        <v>32</v>
      </c>
      <c r="D16" s="3">
        <v>28</v>
      </c>
      <c r="E16" s="3">
        <v>22</v>
      </c>
      <c r="F16" s="3">
        <v>318</v>
      </c>
      <c r="G16" s="3">
        <v>299</v>
      </c>
      <c r="H16" s="3">
        <v>94</v>
      </c>
      <c r="I16" s="3">
        <v>236</v>
      </c>
      <c r="J16" s="3">
        <v>227</v>
      </c>
      <c r="K16" s="3">
        <v>96</v>
      </c>
    </row>
    <row r="17" spans="1:11" x14ac:dyDescent="0.3">
      <c r="A17" s="3" t="s">
        <v>26</v>
      </c>
      <c r="B17" s="3">
        <v>91</v>
      </c>
      <c r="C17" s="3">
        <v>73</v>
      </c>
      <c r="D17" s="3">
        <v>91</v>
      </c>
      <c r="E17" s="3">
        <v>65</v>
      </c>
      <c r="F17" s="3">
        <v>912</v>
      </c>
      <c r="G17" s="3">
        <v>860</v>
      </c>
      <c r="H17" s="3">
        <v>94</v>
      </c>
      <c r="I17" s="3">
        <v>772</v>
      </c>
      <c r="J17" s="3">
        <v>739</v>
      </c>
      <c r="K17" s="3">
        <v>96</v>
      </c>
    </row>
    <row r="18" spans="1:11" x14ac:dyDescent="0.3">
      <c r="A18" s="3" t="s">
        <v>27</v>
      </c>
      <c r="B18" s="3">
        <v>181</v>
      </c>
      <c r="C18" s="3">
        <v>154</v>
      </c>
      <c r="D18" s="3">
        <v>177</v>
      </c>
      <c r="E18" s="3">
        <v>143</v>
      </c>
      <c r="F18" s="3">
        <v>1848</v>
      </c>
      <c r="G18" s="3">
        <v>1785</v>
      </c>
      <c r="H18" s="3">
        <v>97</v>
      </c>
      <c r="I18" s="3">
        <v>1840</v>
      </c>
      <c r="J18" s="3">
        <v>1738</v>
      </c>
      <c r="K18" s="3">
        <v>94</v>
      </c>
    </row>
    <row r="19" spans="1:11" x14ac:dyDescent="0.3">
      <c r="A19" s="3" t="s">
        <v>28</v>
      </c>
      <c r="B19" s="3">
        <v>3830</v>
      </c>
      <c r="C19" s="3">
        <v>3108</v>
      </c>
      <c r="D19" s="3">
        <v>3913</v>
      </c>
      <c r="E19" s="3">
        <v>3239</v>
      </c>
      <c r="F19" s="3">
        <v>30657</v>
      </c>
      <c r="G19" s="3">
        <v>26459</v>
      </c>
      <c r="H19" s="3">
        <v>86</v>
      </c>
      <c r="I19" s="3">
        <v>23651</v>
      </c>
      <c r="J19" s="3">
        <v>18554</v>
      </c>
      <c r="K19" s="3">
        <v>78</v>
      </c>
    </row>
    <row r="20" spans="1:11" x14ac:dyDescent="0.3">
      <c r="A20" s="3" t="s">
        <v>29</v>
      </c>
      <c r="B20" s="3">
        <v>5558</v>
      </c>
      <c r="C20" s="3">
        <v>3990</v>
      </c>
      <c r="D20" s="3">
        <v>5604</v>
      </c>
      <c r="E20" s="3">
        <v>4078</v>
      </c>
      <c r="F20" s="3">
        <v>46343</v>
      </c>
      <c r="G20" s="3">
        <v>36742</v>
      </c>
      <c r="H20" s="3">
        <v>79</v>
      </c>
      <c r="I20" s="3">
        <v>40641</v>
      </c>
      <c r="J20" s="3">
        <v>29164</v>
      </c>
      <c r="K20" s="3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C24" sqref="C24"/>
    </sheetView>
  </sheetViews>
  <sheetFormatPr defaultRowHeight="14.4" x14ac:dyDescent="0.3"/>
  <cols>
    <col min="1" max="1" width="56.33203125" customWidth="1"/>
    <col min="2" max="2" width="11.6640625" customWidth="1"/>
    <col min="3" max="3" width="11" customWidth="1"/>
    <col min="4" max="4" width="12.44140625" customWidth="1"/>
    <col min="5" max="6" width="12.5546875" customWidth="1"/>
    <col min="7" max="7" width="14.33203125" customWidth="1"/>
    <col min="8" max="8" width="16.109375" customWidth="1"/>
    <col min="9" max="10" width="12.77734375" customWidth="1"/>
    <col min="11" max="11" width="13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5</v>
      </c>
      <c r="G1" s="1" t="s">
        <v>6</v>
      </c>
      <c r="H1" s="1" t="s">
        <v>45</v>
      </c>
      <c r="I1" s="1" t="s">
        <v>8</v>
      </c>
      <c r="J1" s="1" t="s">
        <v>9</v>
      </c>
      <c r="K1" s="1" t="s">
        <v>46</v>
      </c>
    </row>
    <row r="2" spans="1:11" x14ac:dyDescent="0.3">
      <c r="A2" s="3" t="s">
        <v>65</v>
      </c>
      <c r="B2" s="3">
        <v>91</v>
      </c>
      <c r="C2" s="3">
        <v>73</v>
      </c>
      <c r="D2" s="3">
        <v>90</v>
      </c>
      <c r="E2" s="3">
        <v>64</v>
      </c>
      <c r="F2" s="3">
        <v>907</v>
      </c>
      <c r="G2" s="3">
        <v>856</v>
      </c>
      <c r="H2" s="3">
        <v>94</v>
      </c>
      <c r="I2" s="3">
        <v>772</v>
      </c>
      <c r="J2" s="3">
        <v>739</v>
      </c>
      <c r="K2" s="3">
        <v>96</v>
      </c>
    </row>
    <row r="3" spans="1:11" x14ac:dyDescent="0.3">
      <c r="A3" s="3" t="s">
        <v>66</v>
      </c>
      <c r="B3" s="3">
        <v>128</v>
      </c>
      <c r="C3" s="3">
        <v>94</v>
      </c>
      <c r="D3" s="3">
        <v>134</v>
      </c>
      <c r="E3" s="3">
        <v>96</v>
      </c>
      <c r="F3" s="3">
        <v>1065</v>
      </c>
      <c r="G3" s="3">
        <v>1002</v>
      </c>
      <c r="H3" s="3">
        <v>94</v>
      </c>
      <c r="I3" s="3">
        <v>893</v>
      </c>
      <c r="J3" s="3">
        <v>821</v>
      </c>
      <c r="K3" s="3">
        <v>92</v>
      </c>
    </row>
    <row r="4" spans="1:11" x14ac:dyDescent="0.3">
      <c r="A4" s="3" t="s">
        <v>67</v>
      </c>
      <c r="B4" s="3">
        <v>181</v>
      </c>
      <c r="C4" s="3">
        <v>154</v>
      </c>
      <c r="D4" s="3">
        <v>177</v>
      </c>
      <c r="E4" s="3">
        <v>143</v>
      </c>
      <c r="F4" s="3">
        <v>1847</v>
      </c>
      <c r="G4" s="3">
        <v>1784</v>
      </c>
      <c r="H4" s="3">
        <v>97</v>
      </c>
      <c r="I4" s="3">
        <v>1837</v>
      </c>
      <c r="J4" s="3">
        <v>1737</v>
      </c>
      <c r="K4" s="3">
        <v>95</v>
      </c>
    </row>
    <row r="5" spans="1:11" x14ac:dyDescent="0.3">
      <c r="A5" s="3" t="s">
        <v>68</v>
      </c>
      <c r="B5" s="3">
        <v>74</v>
      </c>
      <c r="C5" s="3">
        <v>55</v>
      </c>
      <c r="D5" s="3">
        <v>70</v>
      </c>
      <c r="E5" s="3">
        <v>52</v>
      </c>
      <c r="F5" s="3">
        <v>664</v>
      </c>
      <c r="G5" s="3">
        <v>608</v>
      </c>
      <c r="H5" s="3">
        <v>92</v>
      </c>
      <c r="I5" s="3">
        <v>537</v>
      </c>
      <c r="J5" s="3">
        <v>487</v>
      </c>
      <c r="K5" s="3">
        <v>91</v>
      </c>
    </row>
    <row r="6" spans="1:11" x14ac:dyDescent="0.3">
      <c r="A6" s="3" t="s">
        <v>69</v>
      </c>
      <c r="B6" s="3">
        <v>52</v>
      </c>
      <c r="C6" s="3">
        <v>36</v>
      </c>
      <c r="D6" s="3">
        <v>39</v>
      </c>
      <c r="E6" s="3">
        <v>21</v>
      </c>
      <c r="F6" s="3">
        <v>417</v>
      </c>
      <c r="G6" s="3">
        <v>382</v>
      </c>
      <c r="H6" s="3">
        <v>249</v>
      </c>
      <c r="I6" s="3">
        <v>359</v>
      </c>
      <c r="J6" s="3">
        <v>338</v>
      </c>
      <c r="K6" s="3">
        <v>294</v>
      </c>
    </row>
    <row r="7" spans="1:11" x14ac:dyDescent="0.3">
      <c r="A7" s="3" t="s">
        <v>70</v>
      </c>
      <c r="B7" s="3">
        <v>2</v>
      </c>
      <c r="C7" s="3">
        <v>2</v>
      </c>
      <c r="D7" s="3"/>
      <c r="E7" s="3"/>
      <c r="F7" s="3">
        <v>11</v>
      </c>
      <c r="G7" s="3">
        <v>10</v>
      </c>
      <c r="H7" s="3">
        <v>91</v>
      </c>
      <c r="I7" s="3">
        <v>18</v>
      </c>
      <c r="J7" s="3">
        <v>18</v>
      </c>
      <c r="K7" s="3">
        <v>100</v>
      </c>
    </row>
    <row r="8" spans="1:11" x14ac:dyDescent="0.3">
      <c r="A8" s="3" t="s">
        <v>71</v>
      </c>
      <c r="B8" s="3">
        <v>1</v>
      </c>
      <c r="C8" s="3">
        <v>1</v>
      </c>
      <c r="D8" s="3">
        <v>1</v>
      </c>
      <c r="E8" s="3">
        <v>1</v>
      </c>
      <c r="F8" s="3">
        <v>14</v>
      </c>
      <c r="G8" s="3">
        <v>12</v>
      </c>
      <c r="H8" s="3">
        <v>86</v>
      </c>
      <c r="I8" s="3">
        <v>13</v>
      </c>
      <c r="J8" s="3">
        <v>13</v>
      </c>
      <c r="K8" s="3">
        <v>100</v>
      </c>
    </row>
    <row r="9" spans="1:11" x14ac:dyDescent="0.3">
      <c r="A9" s="3" t="s">
        <v>72</v>
      </c>
      <c r="B9" s="3">
        <v>42</v>
      </c>
      <c r="C9" s="3">
        <v>23</v>
      </c>
      <c r="D9" s="3">
        <v>22</v>
      </c>
      <c r="E9" s="3">
        <v>14</v>
      </c>
      <c r="F9" s="3">
        <v>354</v>
      </c>
      <c r="G9" s="3">
        <v>312</v>
      </c>
      <c r="H9" s="3">
        <v>88</v>
      </c>
      <c r="I9" s="3">
        <v>339</v>
      </c>
      <c r="J9" s="3">
        <v>290</v>
      </c>
      <c r="K9" s="3">
        <v>86</v>
      </c>
    </row>
    <row r="10" spans="1:11" x14ac:dyDescent="0.3">
      <c r="A10" s="3" t="s">
        <v>94</v>
      </c>
      <c r="B10" s="3"/>
      <c r="C10" s="3"/>
      <c r="D10" s="3"/>
      <c r="E10" s="3"/>
      <c r="F10" s="3"/>
      <c r="G10" s="3"/>
      <c r="H10" s="3"/>
      <c r="I10" s="3">
        <v>2</v>
      </c>
      <c r="J10" s="3">
        <v>2</v>
      </c>
      <c r="K10" s="3">
        <v>100</v>
      </c>
    </row>
    <row r="11" spans="1:11" x14ac:dyDescent="0.3">
      <c r="A11" s="3" t="s">
        <v>27</v>
      </c>
      <c r="B11" s="3">
        <v>44</v>
      </c>
      <c r="C11" s="3">
        <v>39</v>
      </c>
      <c r="D11" s="3">
        <v>42</v>
      </c>
      <c r="E11" s="3">
        <v>38</v>
      </c>
      <c r="F11" s="3">
        <v>470</v>
      </c>
      <c r="G11" s="3">
        <v>460</v>
      </c>
      <c r="H11" s="3">
        <v>98</v>
      </c>
      <c r="I11" s="3">
        <v>502</v>
      </c>
      <c r="J11" s="3">
        <v>494</v>
      </c>
      <c r="K11" s="3">
        <v>98</v>
      </c>
    </row>
    <row r="12" spans="1:11" x14ac:dyDescent="0.3">
      <c r="A12" s="3" t="s">
        <v>73</v>
      </c>
      <c r="B12" s="3">
        <v>6</v>
      </c>
      <c r="C12" s="3">
        <v>5</v>
      </c>
      <c r="D12" s="3">
        <v>4</v>
      </c>
      <c r="E12" s="3">
        <v>3</v>
      </c>
      <c r="F12" s="3">
        <v>36</v>
      </c>
      <c r="G12" s="3">
        <v>34</v>
      </c>
      <c r="H12" s="3">
        <v>94</v>
      </c>
      <c r="I12" s="3">
        <v>28</v>
      </c>
      <c r="J12" s="3">
        <v>26</v>
      </c>
      <c r="K12" s="3">
        <v>93</v>
      </c>
    </row>
    <row r="13" spans="1:11" x14ac:dyDescent="0.3">
      <c r="A13" s="3" t="s">
        <v>31</v>
      </c>
      <c r="B13" s="3">
        <v>1</v>
      </c>
      <c r="C13" s="3">
        <v>1</v>
      </c>
      <c r="D13" s="3"/>
      <c r="E13" s="3"/>
      <c r="F13" s="3">
        <v>5</v>
      </c>
      <c r="G13" s="3">
        <v>5</v>
      </c>
      <c r="H13" s="3">
        <v>100</v>
      </c>
      <c r="I13" s="3">
        <v>18</v>
      </c>
      <c r="J13" s="3">
        <v>18</v>
      </c>
      <c r="K13" s="3">
        <v>100</v>
      </c>
    </row>
    <row r="14" spans="1:11" x14ac:dyDescent="0.3">
      <c r="A14" s="3" t="s">
        <v>32</v>
      </c>
      <c r="B14" s="3">
        <v>1</v>
      </c>
      <c r="C14" s="3">
        <v>1</v>
      </c>
      <c r="D14" s="3"/>
      <c r="E14" s="3"/>
      <c r="F14" s="3">
        <v>1</v>
      </c>
      <c r="G14" s="3">
        <v>1</v>
      </c>
      <c r="H14" s="3">
        <v>100</v>
      </c>
      <c r="I14" s="3">
        <v>3</v>
      </c>
      <c r="J14" s="3">
        <v>3</v>
      </c>
      <c r="K14" s="3">
        <v>100</v>
      </c>
    </row>
    <row r="15" spans="1:1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D18" sqref="D18"/>
    </sheetView>
  </sheetViews>
  <sheetFormatPr defaultRowHeight="14.4" x14ac:dyDescent="0.3"/>
  <cols>
    <col min="1" max="1" width="21.109375" customWidth="1"/>
    <col min="2" max="2" width="17.88671875" customWidth="1"/>
    <col min="3" max="3" width="26.77734375" customWidth="1"/>
    <col min="4" max="4" width="14.21875" customWidth="1"/>
    <col min="5" max="5" width="13.5546875" customWidth="1"/>
  </cols>
  <sheetData>
    <row r="1" spans="1:5" x14ac:dyDescent="0.3">
      <c r="A1" s="1" t="s">
        <v>33</v>
      </c>
      <c r="B1" s="1" t="s">
        <v>34</v>
      </c>
      <c r="C1" s="1" t="s">
        <v>35</v>
      </c>
      <c r="D1" s="1" t="s">
        <v>74</v>
      </c>
      <c r="E1" s="1" t="s">
        <v>36</v>
      </c>
    </row>
    <row r="2" spans="1:5" x14ac:dyDescent="0.3">
      <c r="A2" s="3" t="s">
        <v>37</v>
      </c>
      <c r="B2" s="3">
        <v>46</v>
      </c>
      <c r="C2" s="3">
        <v>61</v>
      </c>
      <c r="D2" s="3">
        <v>2.0099999999999998</v>
      </c>
      <c r="E2" s="3">
        <v>59858380</v>
      </c>
    </row>
    <row r="3" spans="1:5" x14ac:dyDescent="0.3">
      <c r="A3" s="3" t="s">
        <v>38</v>
      </c>
      <c r="B3" s="3">
        <v>19</v>
      </c>
      <c r="C3" s="3">
        <v>31</v>
      </c>
      <c r="D3" s="3">
        <v>23.25</v>
      </c>
      <c r="E3" s="3">
        <v>193207900</v>
      </c>
    </row>
    <row r="4" spans="1:5" x14ac:dyDescent="0.3">
      <c r="A4" s="3" t="s">
        <v>39</v>
      </c>
      <c r="B4" s="3">
        <v>18</v>
      </c>
      <c r="C4" s="3">
        <v>30</v>
      </c>
      <c r="D4" s="3">
        <v>10.199999999999999</v>
      </c>
      <c r="E4" s="3">
        <v>769095500</v>
      </c>
    </row>
    <row r="5" spans="1:5" x14ac:dyDescent="0.3">
      <c r="A5" s="3" t="s">
        <v>40</v>
      </c>
      <c r="B5" s="3">
        <v>547</v>
      </c>
      <c r="C5" s="3">
        <v>587</v>
      </c>
      <c r="D5" s="3">
        <v>1049.33</v>
      </c>
      <c r="E5" s="3">
        <v>366590947</v>
      </c>
    </row>
    <row r="6" spans="1:5" x14ac:dyDescent="0.3">
      <c r="A6" s="3" t="s">
        <v>41</v>
      </c>
      <c r="B6" s="3">
        <v>211</v>
      </c>
      <c r="C6" s="3">
        <v>290</v>
      </c>
      <c r="D6" s="3">
        <v>257.33</v>
      </c>
      <c r="E6" s="3">
        <v>5132325695</v>
      </c>
    </row>
    <row r="7" spans="1:5" x14ac:dyDescent="0.3">
      <c r="A7" s="3" t="s">
        <v>42</v>
      </c>
      <c r="B7" s="3">
        <v>15</v>
      </c>
      <c r="C7" s="3">
        <v>32</v>
      </c>
      <c r="D7" s="3">
        <v>0.49</v>
      </c>
      <c r="E7" s="3">
        <v>24227819</v>
      </c>
    </row>
    <row r="8" spans="1:5" x14ac:dyDescent="0.3">
      <c r="A8" s="3" t="s">
        <v>43</v>
      </c>
      <c r="B8" s="3">
        <v>50</v>
      </c>
      <c r="C8" s="3">
        <v>73</v>
      </c>
      <c r="D8" s="3"/>
      <c r="E8" s="3">
        <v>7233105</v>
      </c>
    </row>
    <row r="9" spans="1:5" x14ac:dyDescent="0.3">
      <c r="A9" s="3" t="s">
        <v>44</v>
      </c>
      <c r="B9" s="3">
        <v>5137</v>
      </c>
      <c r="C9" s="3">
        <v>4284</v>
      </c>
      <c r="D9" s="3"/>
      <c r="E9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"/>
  <sheetViews>
    <sheetView workbookViewId="0">
      <selection activeCell="D6" sqref="D6"/>
    </sheetView>
  </sheetViews>
  <sheetFormatPr defaultRowHeight="14.4" x14ac:dyDescent="0.3"/>
  <cols>
    <col min="1" max="1" width="20.21875" customWidth="1"/>
    <col min="2" max="2" width="8.88671875" customWidth="1"/>
    <col min="3" max="3" width="18.44140625" customWidth="1"/>
    <col min="4" max="4" width="11.33203125" customWidth="1"/>
    <col min="5" max="5" width="11.88671875" customWidth="1"/>
    <col min="6" max="6" width="14" customWidth="1"/>
    <col min="7" max="7" width="11.109375" customWidth="1"/>
    <col min="8" max="8" width="11.77734375" customWidth="1"/>
    <col min="9" max="9" width="12.88671875" customWidth="1"/>
  </cols>
  <sheetData>
    <row r="1" spans="1:13" x14ac:dyDescent="0.3">
      <c r="A1" s="6" t="s">
        <v>75</v>
      </c>
      <c r="B1" s="7" t="s">
        <v>76</v>
      </c>
      <c r="C1" s="7" t="s">
        <v>77</v>
      </c>
      <c r="D1" s="1" t="s">
        <v>78</v>
      </c>
      <c r="E1" s="1" t="s">
        <v>79</v>
      </c>
      <c r="F1" s="1" t="s">
        <v>81</v>
      </c>
      <c r="G1" s="6" t="s">
        <v>80</v>
      </c>
      <c r="H1" s="1" t="s">
        <v>82</v>
      </c>
      <c r="I1" s="1" t="s">
        <v>83</v>
      </c>
      <c r="J1" s="5"/>
      <c r="K1" s="5"/>
      <c r="L1" s="5"/>
      <c r="M1" s="5"/>
    </row>
    <row r="2" spans="1:13" x14ac:dyDescent="0.3">
      <c r="A2" s="3">
        <v>9</v>
      </c>
      <c r="B2" s="3">
        <v>31</v>
      </c>
      <c r="C2" s="3">
        <v>20</v>
      </c>
      <c r="D2" s="3">
        <v>23</v>
      </c>
      <c r="E2" s="3">
        <v>132</v>
      </c>
      <c r="F2" s="3">
        <v>51</v>
      </c>
      <c r="G2" s="3">
        <v>22</v>
      </c>
      <c r="H2" s="3">
        <v>109</v>
      </c>
      <c r="I2" s="3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"/>
  <sheetViews>
    <sheetView workbookViewId="0">
      <selection activeCell="C9" sqref="C9"/>
    </sheetView>
  </sheetViews>
  <sheetFormatPr defaultRowHeight="14.4" x14ac:dyDescent="0.3"/>
  <cols>
    <col min="1" max="1" width="14.109375" customWidth="1"/>
    <col min="2" max="2" width="16.5546875" customWidth="1"/>
    <col min="3" max="3" width="12.77734375" customWidth="1"/>
    <col min="4" max="4" width="14.109375" customWidth="1"/>
    <col min="5" max="5" width="15.33203125" customWidth="1"/>
    <col min="6" max="6" width="13.5546875" customWidth="1"/>
    <col min="7" max="7" width="15.33203125" customWidth="1"/>
    <col min="8" max="8" width="16.44140625" customWidth="1"/>
    <col min="9" max="9" width="12.33203125" customWidth="1"/>
    <col min="10" max="10" width="13.88671875" customWidth="1"/>
    <col min="11" max="11" width="17.5546875" customWidth="1"/>
  </cols>
  <sheetData>
    <row r="1" spans="1:11" x14ac:dyDescent="0.3">
      <c r="A1" s="1"/>
      <c r="B1" s="1" t="s">
        <v>1</v>
      </c>
      <c r="C1" s="1" t="s">
        <v>2</v>
      </c>
      <c r="D1" s="1" t="s">
        <v>3</v>
      </c>
      <c r="E1" s="1" t="s">
        <v>30</v>
      </c>
      <c r="F1" s="1" t="s">
        <v>5</v>
      </c>
      <c r="G1" s="1" t="s">
        <v>6</v>
      </c>
      <c r="H1" s="1" t="s">
        <v>45</v>
      </c>
      <c r="I1" s="1" t="s">
        <v>8</v>
      </c>
      <c r="J1" s="1" t="s">
        <v>9</v>
      </c>
      <c r="K1" s="1" t="s">
        <v>46</v>
      </c>
    </row>
    <row r="2" spans="1:11" x14ac:dyDescent="0.3">
      <c r="A2" s="3" t="s">
        <v>47</v>
      </c>
      <c r="B2" s="3">
        <v>16</v>
      </c>
      <c r="C2" s="3">
        <v>16</v>
      </c>
      <c r="D2" s="3">
        <v>8</v>
      </c>
      <c r="E2" s="3">
        <v>8</v>
      </c>
      <c r="F2" s="3">
        <v>91</v>
      </c>
      <c r="G2" s="3">
        <v>91</v>
      </c>
      <c r="H2" s="3">
        <v>100</v>
      </c>
      <c r="I2" s="3">
        <v>62</v>
      </c>
      <c r="J2" s="3">
        <v>62</v>
      </c>
      <c r="K2" s="3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tabSelected="1" workbookViewId="0">
      <selection activeCell="A2" sqref="A2:B2"/>
    </sheetView>
  </sheetViews>
  <sheetFormatPr defaultRowHeight="14.4" x14ac:dyDescent="0.3"/>
  <cols>
    <col min="1" max="1" width="11.77734375" customWidth="1"/>
    <col min="2" max="2" width="29.6640625" customWidth="1"/>
  </cols>
  <sheetData>
    <row r="1" spans="1:5" x14ac:dyDescent="0.3">
      <c r="A1" s="4" t="s">
        <v>48</v>
      </c>
      <c r="B1" s="4"/>
      <c r="C1" s="1" t="s">
        <v>49</v>
      </c>
      <c r="D1" s="1" t="s">
        <v>50</v>
      </c>
      <c r="E1" s="1" t="s">
        <v>51</v>
      </c>
    </row>
    <row r="2" spans="1:5" x14ac:dyDescent="0.3">
      <c r="A2" s="8" t="s">
        <v>52</v>
      </c>
      <c r="B2" s="9"/>
      <c r="C2" s="3">
        <v>0</v>
      </c>
      <c r="D2" s="3">
        <v>0</v>
      </c>
      <c r="E2" s="3">
        <v>0</v>
      </c>
    </row>
    <row r="3" spans="1:5" x14ac:dyDescent="0.3">
      <c r="A3" s="8" t="s">
        <v>53</v>
      </c>
      <c r="B3" s="9"/>
      <c r="C3" s="3">
        <v>39</v>
      </c>
      <c r="D3" s="3">
        <v>3</v>
      </c>
      <c r="E3" s="3">
        <v>6</v>
      </c>
    </row>
    <row r="4" spans="1:5" x14ac:dyDescent="0.3">
      <c r="A4" s="8" t="s">
        <v>54</v>
      </c>
      <c r="B4" s="9"/>
      <c r="C4" s="3">
        <v>14</v>
      </c>
      <c r="D4" s="3">
        <v>9</v>
      </c>
      <c r="E4" s="3">
        <v>8</v>
      </c>
    </row>
    <row r="5" spans="1:5" x14ac:dyDescent="0.3">
      <c r="A5" s="8" t="s">
        <v>55</v>
      </c>
      <c r="B5" s="9"/>
      <c r="C5" s="3">
        <v>180</v>
      </c>
      <c r="D5" s="3">
        <v>127</v>
      </c>
      <c r="E5" s="3">
        <v>85</v>
      </c>
    </row>
    <row r="6" spans="1:5" x14ac:dyDescent="0.3">
      <c r="A6" s="8" t="s">
        <v>56</v>
      </c>
      <c r="B6" s="9"/>
      <c r="C6" s="3">
        <v>141</v>
      </c>
      <c r="D6" s="3">
        <v>77</v>
      </c>
      <c r="E6" s="3">
        <v>71</v>
      </c>
    </row>
    <row r="7" spans="1:5" x14ac:dyDescent="0.3">
      <c r="A7" s="8" t="s">
        <v>57</v>
      </c>
      <c r="B7" s="9"/>
      <c r="C7" s="3">
        <v>398</v>
      </c>
      <c r="D7" s="3">
        <v>79</v>
      </c>
      <c r="E7" s="3">
        <v>51</v>
      </c>
    </row>
    <row r="8" spans="1:5" x14ac:dyDescent="0.3">
      <c r="A8" s="8" t="s">
        <v>58</v>
      </c>
      <c r="B8" s="9"/>
      <c r="C8" s="3">
        <v>53</v>
      </c>
      <c r="D8" s="3">
        <v>4</v>
      </c>
      <c r="E8" s="3">
        <v>3</v>
      </c>
    </row>
    <row r="9" spans="1:5" x14ac:dyDescent="0.3">
      <c r="A9" s="8" t="s">
        <v>59</v>
      </c>
      <c r="B9" s="9"/>
      <c r="C9" s="3">
        <v>38</v>
      </c>
      <c r="D9" s="3">
        <v>4</v>
      </c>
      <c r="E9" s="3">
        <v>3</v>
      </c>
    </row>
    <row r="10" spans="1:5" x14ac:dyDescent="0.3">
      <c r="A10" s="8" t="s">
        <v>60</v>
      </c>
      <c r="B10" s="9"/>
      <c r="C10" s="3">
        <v>68</v>
      </c>
      <c r="D10" s="3">
        <v>13</v>
      </c>
      <c r="E10" s="3">
        <v>12</v>
      </c>
    </row>
    <row r="11" spans="1:5" x14ac:dyDescent="0.3">
      <c r="A11" s="8" t="s">
        <v>84</v>
      </c>
      <c r="B11" s="9"/>
      <c r="C11" s="3">
        <v>245</v>
      </c>
      <c r="D11" s="3">
        <v>48</v>
      </c>
      <c r="E11" s="3">
        <v>32</v>
      </c>
    </row>
    <row r="12" spans="1:5" x14ac:dyDescent="0.3">
      <c r="A12" s="8" t="s">
        <v>85</v>
      </c>
      <c r="B12" s="9"/>
      <c r="C12" s="3">
        <v>19</v>
      </c>
      <c r="D12" s="3">
        <v>5</v>
      </c>
      <c r="E12" s="3">
        <v>3</v>
      </c>
    </row>
    <row r="13" spans="1:5" x14ac:dyDescent="0.3">
      <c r="A13" s="8" t="s">
        <v>61</v>
      </c>
      <c r="B13" s="9"/>
      <c r="C13" s="3">
        <v>3</v>
      </c>
      <c r="D13" s="3">
        <v>0</v>
      </c>
      <c r="E13" s="3">
        <v>0</v>
      </c>
    </row>
    <row r="14" spans="1:5" x14ac:dyDescent="0.3">
      <c r="A14" s="8" t="s">
        <v>86</v>
      </c>
      <c r="B14" s="9"/>
      <c r="C14" s="3">
        <v>79</v>
      </c>
      <c r="D14" s="3">
        <v>17</v>
      </c>
      <c r="E14" s="3">
        <v>7</v>
      </c>
    </row>
    <row r="15" spans="1:5" x14ac:dyDescent="0.3">
      <c r="A15" s="8" t="s">
        <v>87</v>
      </c>
      <c r="B15" s="9"/>
      <c r="C15" s="3">
        <v>665</v>
      </c>
      <c r="D15" s="3">
        <v>175</v>
      </c>
      <c r="E15" s="3">
        <v>210</v>
      </c>
    </row>
    <row r="16" spans="1:5" x14ac:dyDescent="0.3">
      <c r="A16" s="8" t="s">
        <v>88</v>
      </c>
      <c r="B16" s="9"/>
      <c r="C16" s="3">
        <v>195</v>
      </c>
      <c r="D16" s="3">
        <v>55</v>
      </c>
      <c r="E16" s="3">
        <v>40</v>
      </c>
    </row>
    <row r="17" spans="1:5" x14ac:dyDescent="0.3">
      <c r="A17" s="8" t="s">
        <v>89</v>
      </c>
      <c r="B17" s="9"/>
      <c r="C17" s="3">
        <v>15</v>
      </c>
      <c r="D17" s="3">
        <v>5</v>
      </c>
      <c r="E17" s="3">
        <v>5</v>
      </c>
    </row>
    <row r="18" spans="1:5" x14ac:dyDescent="0.3">
      <c r="A18" s="8" t="s">
        <v>90</v>
      </c>
      <c r="B18" s="9"/>
      <c r="C18" s="3">
        <v>39</v>
      </c>
      <c r="D18" s="3">
        <v>9</v>
      </c>
      <c r="E18" s="3">
        <v>11</v>
      </c>
    </row>
    <row r="19" spans="1:5" x14ac:dyDescent="0.3">
      <c r="A19" s="8" t="s">
        <v>91</v>
      </c>
      <c r="B19" s="9"/>
      <c r="C19" s="3">
        <v>37</v>
      </c>
      <c r="D19" s="3">
        <v>11</v>
      </c>
      <c r="E19" s="3">
        <v>14</v>
      </c>
    </row>
    <row r="20" spans="1:5" x14ac:dyDescent="0.3">
      <c r="A20" s="8" t="s">
        <v>92</v>
      </c>
      <c r="B20" s="9"/>
      <c r="C20" s="3">
        <v>121</v>
      </c>
      <c r="D20" s="3">
        <v>45</v>
      </c>
      <c r="E20" s="3">
        <v>63</v>
      </c>
    </row>
    <row r="21" spans="1:5" x14ac:dyDescent="0.3">
      <c r="A21" s="8" t="s">
        <v>62</v>
      </c>
      <c r="B21" s="9"/>
      <c r="C21" s="3">
        <v>23</v>
      </c>
      <c r="D21" s="3">
        <v>11</v>
      </c>
      <c r="E21" s="3">
        <v>9</v>
      </c>
    </row>
    <row r="22" spans="1:5" x14ac:dyDescent="0.3">
      <c r="A22" s="8" t="s">
        <v>63</v>
      </c>
      <c r="B22" s="9"/>
      <c r="C22" s="3">
        <v>26</v>
      </c>
      <c r="D22" s="3">
        <v>17</v>
      </c>
      <c r="E22" s="3">
        <v>20</v>
      </c>
    </row>
    <row r="23" spans="1:5" x14ac:dyDescent="0.3">
      <c r="A23" s="8" t="s">
        <v>64</v>
      </c>
      <c r="B23" s="9"/>
      <c r="C23" s="3">
        <v>12</v>
      </c>
      <c r="D23" s="3">
        <v>8</v>
      </c>
      <c r="E23" s="3">
        <v>8</v>
      </c>
    </row>
    <row r="24" spans="1:5" x14ac:dyDescent="0.3">
      <c r="A24" s="8" t="s">
        <v>93</v>
      </c>
      <c r="B24" s="9"/>
      <c r="C24" s="3">
        <f>237+725</f>
        <v>962</v>
      </c>
      <c r="D24" s="3">
        <f>193+104</f>
        <v>297</v>
      </c>
      <c r="E24" s="3">
        <f>125+82</f>
        <v>207</v>
      </c>
    </row>
  </sheetData>
  <mergeCells count="24">
    <mergeCell ref="A2:B2"/>
    <mergeCell ref="A7:B7"/>
    <mergeCell ref="A6:B6"/>
    <mergeCell ref="A5:B5"/>
    <mergeCell ref="A3:B3"/>
    <mergeCell ref="A21:B21"/>
    <mergeCell ref="A22:B22"/>
    <mergeCell ref="A23:B23"/>
    <mergeCell ref="A24:B24"/>
    <mergeCell ref="A4:B4"/>
    <mergeCell ref="A15:B15"/>
    <mergeCell ref="A16:B16"/>
    <mergeCell ref="A17:B17"/>
    <mergeCell ref="A18:B18"/>
    <mergeCell ref="A19:B19"/>
    <mergeCell ref="A20:B20"/>
    <mergeCell ref="A1:B1"/>
    <mergeCell ref="A9:B9"/>
    <mergeCell ref="A10:B10"/>
    <mergeCell ref="A8:B8"/>
    <mergeCell ref="A11:B11"/>
    <mergeCell ref="A12:B12"/>
    <mergeCell ref="A13:B1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IPC</vt:lpstr>
      <vt:lpstr>women</vt:lpstr>
      <vt:lpstr>ndps</vt:lpstr>
      <vt:lpstr>brothels</vt:lpstr>
      <vt:lpstr>ecconomic_offenses</vt:lpstr>
      <vt:lpstr>cyber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MRUNMAYEE POTDAR</cp:lastModifiedBy>
  <dcterms:created xsi:type="dcterms:W3CDTF">2025-11-06T11:50:29Z</dcterms:created>
  <dcterms:modified xsi:type="dcterms:W3CDTF">2025-11-06T13:09:31Z</dcterms:modified>
</cp:coreProperties>
</file>